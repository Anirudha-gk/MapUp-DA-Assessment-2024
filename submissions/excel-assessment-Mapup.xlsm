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irudha\OneDrive\Desktop\"/>
    </mc:Choice>
  </mc:AlternateContent>
  <xr:revisionPtr revIDLastSave="0" documentId="8_{2152A831-7E64-4121-AA7E-20039B962677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Task_1" sheetId="15" r:id="rId2"/>
    <sheet name="Dataset" sheetId="1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2" hidden="1">Dataset!$X$1:$X$40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Z2" i="1" l="1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0" i="18"/>
  <c r="D30" i="18"/>
  <c r="E30" i="18"/>
  <c r="F30" i="18"/>
  <c r="C29" i="18"/>
  <c r="D29" i="18"/>
  <c r="E29" i="18"/>
  <c r="F29" i="18"/>
  <c r="B30" i="18"/>
  <c r="B29" i="18"/>
  <c r="B28" i="18"/>
  <c r="C28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/>
</calcChain>
</file>

<file path=xl/sharedStrings.xml><?xml version="1.0" encoding="utf-8"?>
<sst xmlns="http://schemas.openxmlformats.org/spreadsheetml/2006/main" count="409" uniqueCount="185">
  <si>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</si>
  <si>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</si>
  <si>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</si>
  <si>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</si>
  <si>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</si>
  <si>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</si>
  <si>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</si>
  <si>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</si>
  <si>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</si>
  <si>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</si>
  <si>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</si>
  <si>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</si>
  <si>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</si>
  <si>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</si>
  <si>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</si>
  <si>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</si>
  <si>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</si>
  <si>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</si>
  <si>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</si>
  <si>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</si>
  <si>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</si>
  <si>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</si>
  <si>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</si>
  <si>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</si>
  <si>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</si>
  <si>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</si>
  <si>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</si>
  <si>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</si>
  <si>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</si>
  <si>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</si>
  <si>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</si>
  <si>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</si>
  <si>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</si>
  <si>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</si>
  <si>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</si>
  <si>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</si>
  <si>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</si>
  <si>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</si>
  <si>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</si>
  <si>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</si>
  <si>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</si>
  <si>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</si>
  <si>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</si>
  <si>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</si>
  <si>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</si>
  <si>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</si>
  <si>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</si>
  <si>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</si>
  <si>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</si>
  <si>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</si>
  <si>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</si>
  <si>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</si>
  <si>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</si>
  <si>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</si>
  <si>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</si>
  <si>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</si>
  <si>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</si>
  <si>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</si>
  <si>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</si>
  <si>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</si>
  <si>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</si>
  <si>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</si>
  <si>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</si>
  <si>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</si>
  <si>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</si>
  <si>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</si>
  <si>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</si>
  <si>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</si>
  <si>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</si>
  <si>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</si>
  <si>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</si>
  <si>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</si>
  <si>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</si>
  <si>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</si>
  <si>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</si>
  <si>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</si>
  <si>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</si>
  <si>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</si>
  <si>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</si>
  <si>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</si>
  <si>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</si>
  <si>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</si>
  <si>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</si>
  <si>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</si>
  <si>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</si>
  <si>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</si>
  <si>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</si>
  <si>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</si>
  <si>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</si>
  <si>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</si>
  <si>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</si>
  <si>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</si>
  <si>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</si>
  <si>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</si>
  <si>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</si>
  <si>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</si>
  <si>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</si>
  <si>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</si>
  <si>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</si>
  <si>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</si>
  <si>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</si>
  <si>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</si>
  <si>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</si>
  <si>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</si>
  <si>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</si>
  <si>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</si>
  <si>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</si>
  <si>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</si>
  <si>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</si>
  <si>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</si>
  <si>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</si>
  <si>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</si>
  <si>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</si>
  <si>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</si>
  <si>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</si>
  <si>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</si>
  <si>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</si>
  <si>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</si>
  <si>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</si>
  <si>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</si>
  <si>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</si>
  <si>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</si>
  <si>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</si>
  <si>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</si>
  <si>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</si>
  <si>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</si>
  <si>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</si>
  <si>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</si>
  <si>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</si>
  <si>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</si>
  <si>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</si>
  <si>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</si>
  <si>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</si>
  <si>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</si>
  <si>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</si>
  <si>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</si>
  <si>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</si>
  <si>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</si>
  <si>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</si>
  <si>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</si>
  <si>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</si>
  <si>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</si>
  <si>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</si>
  <si>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</si>
  <si>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</si>
  <si>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</si>
  <si>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</si>
  <si>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</si>
  <si>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</si>
  <si>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</si>
  <si>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</si>
  <si>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</si>
  <si>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</si>
  <si>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</si>
  <si>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</si>
  <si>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</si>
  <si>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</si>
  <si>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</si>
  <si>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</si>
  <si>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</si>
  <si>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</si>
  <si>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</si>
  <si>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</si>
  <si>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</si>
  <si>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</si>
  <si>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</si>
  <si>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</si>
  <si>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</si>
  <si>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</si>
  <si>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</si>
  <si>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</si>
  <si>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</si>
  <si>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</si>
  <si>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</si>
  <si>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</si>
  <si>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</si>
  <si>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</si>
  <si>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 of car2</t>
  </si>
  <si>
    <t xml:space="preserve"> =SUM(IFERROR(C12:C21,20))</t>
  </si>
  <si>
    <t>It’s a real error so will use the above formula, "#N/A" will be replaced with 20</t>
  </si>
  <si>
    <t>Text to Column</t>
  </si>
  <si>
    <t>The Text to Column function will split each value in Table based on the hyphens(delimiter).</t>
  </si>
  <si>
    <r>
      <t xml:space="preserve"> </t>
    </r>
    <r>
      <rPr>
        <b/>
        <sz val="10"/>
        <color rgb="FF000000"/>
        <rFont val="Times New Roman"/>
        <family val="1"/>
      </rPr>
      <t>=INDEX($B$10:$J$18, MATCH(VLOOKUP(A21, $M$10:$N$18, 2, FALSE), $A$10:$A$18, 0), MATCH(VLOOKUP(B21, $M$10:$N$18, 2, FALSE), $B$9:$J$9, 0))</t>
    </r>
  </si>
  <si>
    <t>To fill the "value" column in Table_C, we use a formula that retrieves data from Table_A based on the IDs in Table_B. First, VLOOKUP is used to map the IDs (name_1 and name_2) from Table_C to corresponding names (A-I) in Table_B. Then, using MATCH, we locate the row and column for these names in Table_A. Finally, INDEX returns the value from the intersection of the matched row and column. We handle potential errors (like missing data) using IFERROR, in case of missing values it shows "#N/A".</t>
  </si>
  <si>
    <t xml:space="preserve"> =SUMIF(H:H, 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</si>
</sst>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18" fillId="6" borderId="0" xfId="0" applyFont="1" applyFill="1"/>
    <xf numFmtId="0" fontId="19" fillId="6" borderId="0" xfId="0" applyFont="1" applyFill="1"/>
    <xf numFmtId="0" fontId="19" fillId="6" borderId="0" xfId="0" applyFont="1" applyFill="1" applyAlignment="1">
      <alignment horizontal="center"/>
    </xf>
    <xf numFmtId="166" fontId="7" fillId="0" borderId="0" xfId="0" applyNumberFormat="1" applyFont="1"/>
    <xf numFmtId="166" fontId="3" fillId="0" borderId="0" xfId="0" applyNumberFormat="1" applyFont="1"/>
    <xf numFmtId="0" fontId="20" fillId="7" borderId="0" xfId="0" applyFont="1" applyFill="1" applyAlignment="1">
      <alignment horizontal="center"/>
    </xf>
    <xf numFmtId="0" fontId="3" fillId="0" borderId="0" xfId="0" quotePrefix="1" applyFont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0" xfId="0" quotePrefix="1" applyFont="1"/>
    <xf numFmtId="0" fontId="14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0.39994506668294322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G8" sqref="G8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4" t="s">
        <v>170</v>
      </c>
      <c r="B9" s="25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55" t="s">
        <v>184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40"/>
  <sheetViews>
    <sheetView topLeftCell="I1" zoomScale="57" zoomScaleNormal="100" workbookViewId="0">
      <pane ySplit="1" topLeftCell="A2" activePane="bottomLeft" state="frozen"/>
      <selection activeCell="I1" sqref="I1"/>
      <selection pane="bottomLeft" activeCell="AA10" sqref="AA1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7" width="12.796875" style="1" bestFit="1" customWidth="1"/>
    <col min="8" max="8" width="12.796875" style="1" customWidth="1"/>
    <col min="9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8.09765625" style="1" customWidth="1"/>
    <col min="25" max="25" width="9" style="1"/>
    <col min="26" max="26" width="17" style="43" customWidth="1"/>
    <col min="27" max="16384" width="9" style="1"/>
  </cols>
  <sheetData>
    <row r="1" spans="1:26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  <c r="Z1" s="42" t="s">
        <v>177</v>
      </c>
    </row>
    <row r="2" spans="1:26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  <c r="Z2" s="47">
        <f>SUMIF(H:H, "&gt;20")</f>
        <v>1473.0000000000002</v>
      </c>
    </row>
    <row r="3" spans="1:26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6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6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6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6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6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6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6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6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  <c r="Z11" s="44"/>
    </row>
    <row r="12" spans="1:26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6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6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6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6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8" priority="9"/>
  </conditionalFormatting>
  <conditionalFormatting sqref="B1:B1048576">
    <cfRule type="duplicateValues" dxfId="7" priority="8"/>
  </conditionalFormatting>
  <conditionalFormatting sqref="G1:H41 G43:H1048576 G42">
    <cfRule type="cellIs" dxfId="6" priority="7" operator="equal">
      <formula>-1</formula>
    </cfRule>
  </conditionalFormatting>
  <conditionalFormatting sqref="G1:W41 G43:W1048576 G42 I42:W42">
    <cfRule type="cellIs" dxfId="5" priority="6" operator="equal">
      <formula>-1</formula>
    </cfRule>
  </conditionalFormatting>
  <conditionalFormatting sqref="G1:W41 G43:W1048576 G42 I42:W42">
    <cfRule type="cellIs" dxfId="4" priority="5" operator="equal">
      <formula>0</formula>
    </cfRule>
  </conditionalFormatting>
  <conditionalFormatting sqref="G1:W41 G43:W1048576 G42 I42:W42">
    <cfRule type="cellIs" dxfId="3" priority="4" operator="equal">
      <formula>0</formula>
    </cfRule>
  </conditionalFormatting>
  <conditionalFormatting sqref="Z2">
    <cfRule type="cellIs" dxfId="2" priority="3" operator="equal">
      <formula>1473</formula>
    </cfRule>
  </conditionalFormatting>
  <conditionalFormatting sqref="H42">
    <cfRule type="cellIs" dxfId="1" priority="2" operator="equal">
      <formula>1473</formula>
    </cfRule>
  </conditionalFormatting>
  <conditionalFormatting sqref="H45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54" zoomScaleNormal="100" workbookViewId="0">
      <selection activeCell="E35" sqref="E35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163</v>
      </c>
    </row>
    <row r="2" spans="1:7" s="39" customFormat="1" ht="21" x14ac:dyDescent="0.5">
      <c r="B2" s="39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2">
        <f>INDEX(Dataset!$G$2:$G$100, MATCH(A6, Dataset!$A$2:$A$100, 0), CAR1)</f>
        <v>2.7</v>
      </c>
      <c r="C6" s="12">
        <f>INDEX(Dataset!$N$2:$N$100, MATCH(A6, Dataset!$A$2:$A$100, 0), BUS2)</f>
        <v>7.6</v>
      </c>
      <c r="D6" s="12">
        <f>INDEX(Dataset!$R$2:$R$100, MATCH(A6, Dataset!$A$2:$A$100, 0), BUS2)</f>
        <v>4.2</v>
      </c>
      <c r="E6" s="12">
        <f>INDEX(Dataset!$T$2:$T$100, MATCH(A6, Dataset!$A$2:$A$100, 0), BUS2)</f>
        <v>8.9</v>
      </c>
      <c r="F6" s="8">
        <f>INDEX(Dataset!$V$2:$V$100, MATCH(A6, Dataset!$A$2:$A$100, 0), BUS2)</f>
        <v>4.2</v>
      </c>
    </row>
    <row r="7" spans="1:7" ht="14.5" x14ac:dyDescent="0.35">
      <c r="A7" s="7" t="s">
        <v>4</v>
      </c>
      <c r="B7" s="12">
        <f>INDEX(Dataset!$G$2:$G$100, MATCH(A7, Dataset!$A$2:$A$100, 0), CAR2)</f>
        <v>2.7</v>
      </c>
      <c r="C7" s="12">
        <f>INDEX(Dataset!$N$2:$N$100, MATCH(A7, Dataset!$A$2:$A$100, 0), BUS3)</f>
        <v>7.6</v>
      </c>
      <c r="D7" s="12">
        <f>INDEX(Dataset!$R$2:$R$100, MATCH(A7, Dataset!$A$2:$A$100, 0), BUS3)</f>
        <v>4.2</v>
      </c>
      <c r="E7" s="12">
        <f>INDEX(Dataset!$T$2:$T$100, MATCH(A7, Dataset!$A$2:$A$100, 0), BUS3)</f>
        <v>8.9</v>
      </c>
      <c r="F7" s="8">
        <f>INDEX(Dataset!$V$2:$V$100, MATCH(A7, Dataset!$A$2:$A$100, 0), BUS3)</f>
        <v>4.2</v>
      </c>
    </row>
    <row r="8" spans="1:7" ht="14.5" x14ac:dyDescent="0.35">
      <c r="A8" s="7" t="s">
        <v>7</v>
      </c>
      <c r="B8" s="12">
        <f>INDEX(Dataset!$G$2:$G$100, MATCH(A8, Dataset!$A$2:$A$100, 0), CAR3)</f>
        <v>3.6</v>
      </c>
      <c r="C8" s="12">
        <f>INDEX(Dataset!$N$2:$N$100, MATCH(A8, Dataset!$A$2:$A$100, 0), BUS4)</f>
        <v>11.1</v>
      </c>
      <c r="D8" s="12">
        <f>INDEX(Dataset!$R$2:$R$100, MATCH(A8, Dataset!$A$2:$A$100, 0), BUS4)</f>
        <v>5.8</v>
      </c>
      <c r="E8" s="12">
        <f>INDEX(Dataset!$T$2:$T$100, MATCH(A8, Dataset!$A$2:$A$100, 0), BUS4)</f>
        <v>12.2</v>
      </c>
      <c r="F8" s="8">
        <f>INDEX(Dataset!$V$2:$V$100, MATCH(A8, Dataset!$A$2:$A$100, 0), BUS4)</f>
        <v>5.8</v>
      </c>
    </row>
    <row r="9" spans="1:7" ht="14.5" x14ac:dyDescent="0.35">
      <c r="A9" s="7" t="s">
        <v>8</v>
      </c>
      <c r="B9" s="12">
        <f>INDEX(Dataset!$G$2:$G$100, MATCH(A9, Dataset!$A$2:$A$100, 0), CAR4)</f>
        <v>4.9000000000000004</v>
      </c>
      <c r="C9" s="12">
        <f>INDEX(Dataset!$N$2:$N$100, MATCH(A9, Dataset!$A$2:$A$100, 0), BUS5)</f>
        <v>13.3</v>
      </c>
      <c r="D9" s="12">
        <f>INDEX(Dataset!$R$2:$R$100, MATCH(A9, Dataset!$A$2:$A$100, 0), BUS5)</f>
        <v>8.1</v>
      </c>
      <c r="E9" s="12">
        <f>INDEX(Dataset!$T$2:$T$100, MATCH(A9, Dataset!$A$2:$A$100, 0), BUS5)</f>
        <v>17</v>
      </c>
      <c r="F9" s="8">
        <f>INDEX(Dataset!$V$2:$V$100, MATCH(A9, Dataset!$A$2:$A$100, 0), BUS5)</f>
        <v>8.1</v>
      </c>
    </row>
    <row r="10" spans="1:7" ht="14.5" x14ac:dyDescent="0.35">
      <c r="A10" s="7" t="s">
        <v>11</v>
      </c>
      <c r="B10" s="12">
        <f>INDEX(Dataset!$G$2:$G$100, MATCH(A10, Dataset!$A$2:$A$100, 0), CAR5)</f>
        <v>9.4</v>
      </c>
      <c r="C10" s="12">
        <f>INDEX(Dataset!$N$2:$N$100, MATCH(A10, Dataset!$A$2:$A$100, 0), BUS6)</f>
        <v>28.3</v>
      </c>
      <c r="D10" s="12">
        <f>INDEX(Dataset!$R$2:$R$100, MATCH(A10, Dataset!$A$2:$A$100, 0), BUS6)</f>
        <v>16.100000000000001</v>
      </c>
      <c r="E10" s="12">
        <f>INDEX(Dataset!$T$2:$T$100, MATCH(A10, Dataset!$A$2:$A$100, 0), BUS6)</f>
        <v>32.799999999999997</v>
      </c>
      <c r="F10" s="8">
        <f>INDEX(Dataset!$V$2:$V$100, MATCH(A10, Dataset!$A$2:$A$100, 0), BUS6)</f>
        <v>16.100000000000001</v>
      </c>
    </row>
    <row r="11" spans="1:7" ht="14.5" x14ac:dyDescent="0.35">
      <c r="A11" s="7" t="s">
        <v>12</v>
      </c>
      <c r="B11" s="12">
        <f>INDEX(Dataset!$G$2:$G$100, MATCH(A11, Dataset!$A$2:$A$100, 0), CAR6)</f>
        <v>11.6</v>
      </c>
      <c r="C11" s="12">
        <f>INDEX(Dataset!$N$2:$N$100, MATCH(A11, Dataset!$A$2:$A$100, 0), BUS7)</f>
        <v>35.200000000000003</v>
      </c>
      <c r="D11" s="12">
        <f>INDEX(Dataset!$R$2:$R$100, MATCH(A11, Dataset!$A$2:$A$100, 0), BUS7)</f>
        <v>21.3</v>
      </c>
      <c r="E11" s="12">
        <f>INDEX(Dataset!$T$2:$T$100, MATCH(A11, Dataset!$A$2:$A$100, 0), BUS7)</f>
        <v>43</v>
      </c>
      <c r="F11" s="8">
        <f>INDEX(Dataset!$V$2:$V$100, MATCH(A11, Dataset!$A$2:$A$100, 0), BUS7)</f>
        <v>21.3</v>
      </c>
    </row>
    <row r="12" spans="1:7" ht="14.5" x14ac:dyDescent="0.35">
      <c r="A12" s="7" t="s">
        <v>14</v>
      </c>
      <c r="B12" s="12">
        <f>INDEX(Dataset!$G$2:$G$100, MATCH(A12, Dataset!$A$2:$A$100, 0), CAR7)</f>
        <v>18.399999999999999</v>
      </c>
      <c r="C12" s="12">
        <f>INDEX(Dataset!$N$2:$N$100, MATCH(A12, Dataset!$A$2:$A$100, 0), BUS8)</f>
        <v>55.6</v>
      </c>
      <c r="D12" s="12">
        <f>INDEX(Dataset!$R$2:$R$100, MATCH(A12, Dataset!$A$2:$A$100, 0), BUS8)</f>
        <v>33.799999999999997</v>
      </c>
      <c r="E12" s="12">
        <f>INDEX(Dataset!$T$2:$T$100, MATCH(A12, Dataset!$A$2:$A$100, 0), BUS8)</f>
        <v>67.900000000000006</v>
      </c>
      <c r="F12" s="8">
        <f>INDEX(Dataset!$V$2:$V$100, MATCH(A12, Dataset!$A$2:$A$100, 0), BUS8)</f>
        <v>33.799999999999997</v>
      </c>
    </row>
    <row r="13" spans="1:7" ht="14.5" x14ac:dyDescent="0.35">
      <c r="A13" s="7" t="s">
        <v>15</v>
      </c>
      <c r="B13" s="12">
        <f>INDEX(Dataset!$G$2:$G$100, MATCH(A13, Dataset!$A$2:$A$100, 0), CAR8)</f>
        <v>0</v>
      </c>
      <c r="C13" s="12">
        <f>INDEX(Dataset!$N$2:$N$100, MATCH(A13, Dataset!$A$2:$A$100, 0), BUS9)</f>
        <v>0</v>
      </c>
      <c r="D13" s="12">
        <f>INDEX(Dataset!$R$2:$R$100, MATCH(A13, Dataset!$A$2:$A$100, 0), BUS9)</f>
        <v>0</v>
      </c>
      <c r="E13" s="12">
        <f>INDEX(Dataset!$T$2:$T$100, MATCH(A13, Dataset!$A$2:$A$100, 0), BUS9)</f>
        <v>0</v>
      </c>
      <c r="F13" s="8">
        <f>INDEX(Dataset!$V$2:$V$100, MATCH(A13, Dataset!$A$2:$A$100, 0), BUS9)</f>
        <v>0</v>
      </c>
    </row>
    <row r="14" spans="1:7" ht="14.5" x14ac:dyDescent="0.35">
      <c r="A14" s="7" t="s">
        <v>16</v>
      </c>
      <c r="B14" s="12">
        <f>INDEX(Dataset!$G$2:$G$100, MATCH(A14, Dataset!$A$2:$A$100, 0), CAR9)</f>
        <v>21.9</v>
      </c>
      <c r="C14" s="12">
        <f>INDEX(Dataset!$N$2:$N$100, MATCH(A14, Dataset!$A$2:$A$100, 0), BUS10)</f>
        <v>61.5</v>
      </c>
      <c r="D14" s="12">
        <f>INDEX(Dataset!$R$2:$R$100, MATCH(A14, Dataset!$A$2:$A$100, 0), BUS10)</f>
        <v>40.1</v>
      </c>
      <c r="E14" s="12">
        <f>INDEX(Dataset!$T$2:$T$100, MATCH(A14, Dataset!$A$2:$A$100, 0), BUS10)</f>
        <v>76.599999999999994</v>
      </c>
      <c r="F14" s="8">
        <f>INDEX(Dataset!$V$2:$V$100, MATCH(A14, Dataset!$A$2:$A$100, 0), BUS10)</f>
        <v>40.1</v>
      </c>
    </row>
    <row r="15" spans="1:7" ht="14.5" x14ac:dyDescent="0.35">
      <c r="A15" s="7" t="s">
        <v>18</v>
      </c>
      <c r="B15" s="12">
        <f>INDEX(Dataset!$G$2:$G$100, MATCH(A15, Dataset!$A$2:$A$100, 0), CAR10)</f>
        <v>26.8</v>
      </c>
      <c r="C15" s="12">
        <f>INDEX(Dataset!$N$2:$N$100, MATCH(A15, Dataset!$A$2:$A$100, 0), BUS11)</f>
        <v>79.599999999999994</v>
      </c>
      <c r="D15" s="12">
        <f>INDEX(Dataset!$R$2:$R$100, MATCH(A15, Dataset!$A$2:$A$100, 0), BUS11)</f>
        <v>47.9</v>
      </c>
      <c r="E15" s="12">
        <f>INDEX(Dataset!$T$2:$T$100, MATCH(A15, Dataset!$A$2:$A$100, 0), BUS11)</f>
        <v>96.8</v>
      </c>
      <c r="F15" s="8">
        <f>INDEX(Dataset!$V$2:$V$100, MATCH(A15, Dataset!$A$2:$A$100, 0), BUS11)</f>
        <v>47.9</v>
      </c>
    </row>
    <row r="16" spans="1:7" ht="14.5" x14ac:dyDescent="0.35">
      <c r="A16" s="7" t="s">
        <v>20</v>
      </c>
      <c r="B16" s="12">
        <f>INDEX(Dataset!$G$2:$G$100, MATCH(A16, Dataset!$A$2:$A$100, 0), CAR11)</f>
        <v>28.5</v>
      </c>
      <c r="C16" s="12">
        <f>INDEX(Dataset!$N$2:$N$100, MATCH(A16, Dataset!$A$2:$A$100, 0), BUS12)</f>
        <v>85.4</v>
      </c>
      <c r="D16" s="12">
        <f>INDEX(Dataset!$R$2:$R$100, MATCH(A16, Dataset!$A$2:$A$100, 0), BUS12)</f>
        <v>52.3</v>
      </c>
      <c r="E16" s="12">
        <f>INDEX(Dataset!$T$2:$T$100, MATCH(A16, Dataset!$A$2:$A$100, 0), BUS12)</f>
        <v>106.1</v>
      </c>
      <c r="F16" s="8">
        <f>INDEX(Dataset!$V$2:$V$100, MATCH(A16, Dataset!$A$2:$A$100, 0), BUS12)</f>
        <v>52.3</v>
      </c>
    </row>
    <row r="17" spans="1:6" ht="14.5" x14ac:dyDescent="0.35">
      <c r="A17" s="7" t="s">
        <v>22</v>
      </c>
      <c r="B17" s="12">
        <f>INDEX(Dataset!$G$2:$G$100, MATCH(A17, Dataset!$A$2:$A$100, 0), CAR12)</f>
        <v>30.7</v>
      </c>
      <c r="C17" s="12">
        <f>INDEX(Dataset!$N$2:$N$100, MATCH(A17, Dataset!$A$2:$A$100, 0), BUS13)</f>
        <v>92.1</v>
      </c>
      <c r="D17" s="12">
        <f>INDEX(Dataset!$R$2:$R$100, MATCH(A17, Dataset!$A$2:$A$100, 0), BUS13)</f>
        <v>57</v>
      </c>
      <c r="E17" s="12">
        <f>INDEX(Dataset!$T$2:$T$100, MATCH(A17, Dataset!$A$2:$A$100, 0), BUS13)</f>
        <v>115.1</v>
      </c>
      <c r="F17" s="8">
        <f>INDEX(Dataset!$V$2:$V$100, MATCH(A17, Dataset!$A$2:$A$100, 0), BUS13)</f>
        <v>57</v>
      </c>
    </row>
    <row r="18" spans="1:6" ht="14.5" x14ac:dyDescent="0.35">
      <c r="A18" s="7" t="s">
        <v>23</v>
      </c>
      <c r="B18" s="12">
        <f>INDEX(Dataset!$G$2:$G$100, MATCH(A18, Dataset!$A$2:$A$100, 0), CAR13)</f>
        <v>33.799999999999997</v>
      </c>
      <c r="C18" s="12">
        <f>INDEX(Dataset!$N$2:$N$100, MATCH(A18, Dataset!$A$2:$A$100, 0), BUS14)</f>
        <v>101.3</v>
      </c>
      <c r="D18" s="12">
        <f>INDEX(Dataset!$R$2:$R$100, MATCH(A18, Dataset!$A$2:$A$100, 0), BUS14)</f>
        <v>61.4</v>
      </c>
      <c r="E18" s="12">
        <f>INDEX(Dataset!$T$2:$T$100, MATCH(A18, Dataset!$A$2:$A$100, 0), BUS14)</f>
        <v>124.4</v>
      </c>
      <c r="F18" s="8">
        <f>INDEX(Dataset!$V$2:$V$100, MATCH(A18, Dataset!$A$2:$A$100, 0), BUS14)</f>
        <v>61.4</v>
      </c>
    </row>
    <row r="19" spans="1:6" ht="14.5" x14ac:dyDescent="0.35">
      <c r="A19" s="7" t="s">
        <v>24</v>
      </c>
      <c r="B19" s="12">
        <f>INDEX(Dataset!$G$2:$G$100, MATCH(A19, Dataset!$A$2:$A$100, 0), CAR14)</f>
        <v>34.700000000000003</v>
      </c>
      <c r="C19" s="12">
        <f>INDEX(Dataset!$N$2:$N$100, MATCH(A19, Dataset!$A$2:$A$100, 0), BUS15)</f>
        <v>106.1</v>
      </c>
      <c r="D19" s="12">
        <f>INDEX(Dataset!$R$2:$R$100, MATCH(A19, Dataset!$A$2:$A$100, 0), BUS15)</f>
        <v>63.6</v>
      </c>
      <c r="E19" s="12">
        <f>INDEX(Dataset!$T$2:$T$100, MATCH(A19, Dataset!$A$2:$A$100, 0), BUS15)</f>
        <v>128.6</v>
      </c>
      <c r="F19" s="8">
        <f>INDEX(Dataset!$V$2:$V$100, MATCH(A19, Dataset!$A$2:$A$100, 0), BUS15)</f>
        <v>63.6</v>
      </c>
    </row>
    <row r="20" spans="1:6" ht="14.5" x14ac:dyDescent="0.35">
      <c r="A20" s="7" t="s">
        <v>28</v>
      </c>
      <c r="B20" s="12">
        <f>INDEX(Dataset!$G$2:$G$100, MATCH(A20, Dataset!$A$2:$A$100, 0), CAR15)</f>
        <v>0</v>
      </c>
      <c r="C20" s="12">
        <f>INDEX(Dataset!$N$2:$N$100, MATCH(A20, Dataset!$A$2:$A$100, 0), BUS16)</f>
        <v>0</v>
      </c>
      <c r="D20" s="12">
        <f>INDEX(Dataset!$R$2:$R$100, MATCH(A20, Dataset!$A$2:$A$100, 0), BUS16)</f>
        <v>0</v>
      </c>
      <c r="E20" s="12">
        <f>INDEX(Dataset!$T$2:$T$100, MATCH(A20, Dataset!$A$2:$A$100, 0), BUS16)</f>
        <v>0</v>
      </c>
      <c r="F20" s="8">
        <f>INDEX(Dataset!$V$2:$V$100, MATCH(A20, Dataset!$A$2:$A$100, 0), BUS16)</f>
        <v>0</v>
      </c>
    </row>
    <row r="21" spans="1:6" ht="14.5" x14ac:dyDescent="0.35">
      <c r="A21" s="7" t="s">
        <v>57</v>
      </c>
      <c r="B21" s="12">
        <f>INDEX(Dataset!$G$2:$G$100, MATCH(A21, Dataset!$A$2:$A$100, 0), CAR16)</f>
        <v>41.3</v>
      </c>
      <c r="C21" s="12">
        <f>INDEX(Dataset!$N$2:$N$100, MATCH(A21, Dataset!$A$2:$A$100, 0), BUS17)</f>
        <v>124.4</v>
      </c>
      <c r="D21" s="12">
        <f>INDEX(Dataset!$R$2:$R$100, MATCH(A21, Dataset!$A$2:$A$100, 0), BUS17)</f>
        <v>75</v>
      </c>
      <c r="E21" s="12">
        <f>INDEX(Dataset!$T$2:$T$100, MATCH(A21, Dataset!$A$2:$A$100, 0), BUS17)</f>
        <v>151.5</v>
      </c>
      <c r="F21" s="8">
        <f>INDEX(Dataset!$V$2:$V$100, MATCH(A21, Dataset!$A$2:$A$100, 0), BUS17)</f>
        <v>75</v>
      </c>
    </row>
    <row r="22" spans="1:6" ht="14.5" x14ac:dyDescent="0.35">
      <c r="A22" s="7" t="s">
        <v>58</v>
      </c>
      <c r="B22" s="12">
        <f>INDEX(Dataset!$G$2:$G$100, MATCH(A22, Dataset!$A$2:$A$100, 0), CAR17)</f>
        <v>-1</v>
      </c>
      <c r="C22" s="12">
        <f>INDEX(Dataset!$N$2:$N$100, MATCH(A22, Dataset!$A$2:$A$100, 0), BUS18)</f>
        <v>-1</v>
      </c>
      <c r="D22" s="12">
        <f>INDEX(Dataset!$R$2:$R$100, MATCH(A22, Dataset!$A$2:$A$100, 0), BUS18)</f>
        <v>-1</v>
      </c>
      <c r="E22" s="12">
        <f>INDEX(Dataset!$T$2:$T$100, MATCH(A22, Dataset!$A$2:$A$100, 0), BUS18)</f>
        <v>-1</v>
      </c>
      <c r="F22" s="8">
        <f>INDEX(Dataset!$V$2:$V$100, MATCH(A22, Dataset!$A$2:$A$100, 0), BUS18)</f>
        <v>-1</v>
      </c>
    </row>
    <row r="23" spans="1:6" ht="14.5" x14ac:dyDescent="0.35">
      <c r="A23" s="7" t="s">
        <v>31</v>
      </c>
      <c r="B23" s="12">
        <f>INDEX(Dataset!$G$2:$G$100, MATCH(A23, Dataset!$A$2:$A$100, 0), CAR18)</f>
        <v>45</v>
      </c>
      <c r="C23" s="12">
        <f>INDEX(Dataset!$N$2:$N$100, MATCH(A23, Dataset!$A$2:$A$100, 0), BUS19)</f>
        <v>133.4</v>
      </c>
      <c r="D23" s="12">
        <f>INDEX(Dataset!$R$2:$R$100, MATCH(A23, Dataset!$A$2:$A$100, 0), BUS19)</f>
        <v>79.400000000000006</v>
      </c>
      <c r="E23" s="12">
        <f>INDEX(Dataset!$T$2:$T$100, MATCH(A23, Dataset!$A$2:$A$100, 0), BUS19)</f>
        <v>160.9</v>
      </c>
      <c r="F23" s="8">
        <f>INDEX(Dataset!$V$2:$V$100, MATCH(A23, Dataset!$A$2:$A$100, 0), BUS19)</f>
        <v>79.400000000000006</v>
      </c>
    </row>
    <row r="24" spans="1:6" ht="14.5" x14ac:dyDescent="0.35">
      <c r="A24" s="7" t="s">
        <v>32</v>
      </c>
      <c r="B24" s="12">
        <f>INDEX(Dataset!$G$2:$G$100, MATCH(A24, Dataset!$A$2:$A$100, 0), CAR19)</f>
        <v>-1</v>
      </c>
      <c r="C24" s="12">
        <f>INDEX(Dataset!$N$2:$N$100, MATCH(A24, Dataset!$A$2:$A$100, 0), BUS20)</f>
        <v>-1</v>
      </c>
      <c r="D24" s="12">
        <f>INDEX(Dataset!$R$2:$R$100, MATCH(A24, Dataset!$A$2:$A$100, 0), BUS20)</f>
        <v>-1</v>
      </c>
      <c r="E24" s="12">
        <f>INDEX(Dataset!$T$2:$T$100, MATCH(A24, Dataset!$A$2:$A$100, 0), BUS20)</f>
        <v>-1</v>
      </c>
      <c r="F24" s="8">
        <f>INDEX(Dataset!$V$2:$V$100, MATCH(A24, Dataset!$A$2:$A$100, 0), BUS20)</f>
        <v>-1</v>
      </c>
    </row>
    <row r="25" spans="1:6" ht="14.5" x14ac:dyDescent="0.35">
      <c r="A25" s="7" t="s">
        <v>34</v>
      </c>
      <c r="B25" s="12">
        <f>INDEX(Dataset!$G$2:$G$100, MATCH(A25, Dataset!$A$2:$A$100, 0), CAR20)</f>
        <v>43.3</v>
      </c>
      <c r="C25" s="12">
        <f>INDEX(Dataset!$N$2:$N$100, MATCH(A25, Dataset!$A$2:$A$100, 0), BUS21)</f>
        <v>128.6</v>
      </c>
      <c r="D25" s="12">
        <f>INDEX(Dataset!$R$2:$R$100, MATCH(A25, Dataset!$A$2:$A$100, 0), BUS21)</f>
        <v>79.400000000000006</v>
      </c>
      <c r="E25" s="12">
        <f>INDEX(Dataset!$T$2:$T$100, MATCH(A25, Dataset!$A$2:$A$100, 0), BUS21)</f>
        <v>160.9</v>
      </c>
      <c r="F25" s="8">
        <f>INDEX(Dataset!$V$2:$V$100, MATCH(A25, Dataset!$A$2:$A$100, 0), BUS21)</f>
        <v>79.400000000000006</v>
      </c>
    </row>
    <row r="26" spans="1:6" ht="14.5" x14ac:dyDescent="0.35">
      <c r="A26" s="7" t="s">
        <v>37</v>
      </c>
      <c r="B26" s="12">
        <f>INDEX(Dataset!$G$2:$G$100, MATCH(A26, Dataset!$A$2:$A$100, 0), CAR21)</f>
        <v>49.1</v>
      </c>
      <c r="C26" s="12">
        <f>INDEX(Dataset!$N$2:$N$100, MATCH(A26, Dataset!$A$2:$A$100, 0), BUS22)</f>
        <v>146.80000000000001</v>
      </c>
      <c r="D26" s="12">
        <f>INDEX(Dataset!$R$2:$R$100, MATCH(A26, Dataset!$A$2:$A$100, 0), BUS22)</f>
        <v>90.9</v>
      </c>
      <c r="E26" s="12">
        <f>INDEX(Dataset!$T$2:$T$100, MATCH(A26, Dataset!$A$2:$A$100, 0), BUS22)</f>
        <v>183.5</v>
      </c>
      <c r="F26" s="8">
        <f>INDEX(Dataset!$V$2:$V$100, MATCH(A26, Dataset!$A$2:$A$100, 0), BUS22)</f>
        <v>90.9</v>
      </c>
    </row>
    <row r="27" spans="1:6" ht="14.5" x14ac:dyDescent="0.35">
      <c r="A27" s="7" t="s">
        <v>39</v>
      </c>
      <c r="B27" s="12">
        <f>INDEX(Dataset!$G$2:$G$100, MATCH(A27, Dataset!$A$2:$A$100, 0), CAR22)</f>
        <v>51.8</v>
      </c>
      <c r="C27" s="12">
        <f>INDEX(Dataset!$N$2:$N$100, MATCH(A27, Dataset!$A$2:$A$100, 0), BUS23)</f>
        <v>156.4</v>
      </c>
      <c r="D27" s="12">
        <f>INDEX(Dataset!$R$2:$R$100, MATCH(A27, Dataset!$A$2:$A$100, 0), BUS23)</f>
        <v>93.1</v>
      </c>
      <c r="E27" s="12">
        <f>INDEX(Dataset!$T$2:$T$100, MATCH(A27, Dataset!$A$2:$A$100, 0), BUS23)</f>
        <v>188.1</v>
      </c>
      <c r="F27" s="8">
        <f>INDEX(Dataset!$V$2:$V$100, MATCH(A27, Dataset!$A$2:$A$100, 0), BUS23)</f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68" zoomScaleNormal="100" workbookViewId="0">
      <selection activeCell="D61" sqref="D61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56</v>
      </c>
      <c r="B1" s="39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1" t="s">
        <v>53</v>
      </c>
      <c r="B5" s="38" t="s">
        <v>180</v>
      </c>
    </row>
    <row r="6" spans="1:10" ht="18.5" x14ac:dyDescent="0.45">
      <c r="A6" s="41" t="s">
        <v>152</v>
      </c>
      <c r="B6" s="38" t="s">
        <v>181</v>
      </c>
    </row>
    <row r="7" spans="1:10" ht="18.5" x14ac:dyDescent="0.45">
      <c r="A7" s="41"/>
      <c r="B7" s="38"/>
    </row>
    <row r="9" spans="1:10" ht="23.5" x14ac:dyDescent="0.55000000000000004">
      <c r="A9" s="17" t="s">
        <v>164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7" t="s">
        <v>161</v>
      </c>
    </row>
    <row r="15" spans="1:10" x14ac:dyDescent="0.35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="80" zoomScaleNormal="100" workbookViewId="0">
      <selection activeCell="F27" sqref="F2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0" t="s">
        <v>85</v>
      </c>
      <c r="B1" s="39" t="s">
        <v>166</v>
      </c>
    </row>
    <row r="2" spans="1:3" ht="18.5" x14ac:dyDescent="0.45">
      <c r="B2" s="38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53</v>
      </c>
      <c r="B6" s="48" t="s">
        <v>178</v>
      </c>
    </row>
    <row r="7" spans="1:3" ht="14.5" x14ac:dyDescent="0.35">
      <c r="A7" s="3" t="s">
        <v>152</v>
      </c>
      <c r="B7" s="1" t="s">
        <v>179</v>
      </c>
    </row>
    <row r="10" spans="1:3" ht="23.5" x14ac:dyDescent="0.55000000000000004">
      <c r="A10" s="17" t="s">
        <v>161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>
        <v>20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>
        <v>20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153</v>
      </c>
      <c r="C17" s="16">
        <v>150</v>
      </c>
    </row>
    <row r="18" spans="1:3" ht="14.5" x14ac:dyDescent="0.35">
      <c r="A18" s="31">
        <v>44933</v>
      </c>
      <c r="B18" s="16" t="s">
        <v>154</v>
      </c>
      <c r="C18" s="16">
        <v>80</v>
      </c>
    </row>
    <row r="19" spans="1:3" ht="14.5" x14ac:dyDescent="0.35">
      <c r="A19" s="31">
        <v>44934</v>
      </c>
      <c r="B19" s="16" t="s">
        <v>155</v>
      </c>
      <c r="C19" s="16">
        <v>20</v>
      </c>
    </row>
    <row r="20" spans="1:3" ht="14.5" x14ac:dyDescent="0.35">
      <c r="A20" s="31">
        <v>44935</v>
      </c>
      <c r="B20" s="16" t="s">
        <v>156</v>
      </c>
      <c r="C20" s="16">
        <v>30</v>
      </c>
    </row>
    <row r="21" spans="1:3" ht="14.5" x14ac:dyDescent="0.35">
      <c r="A21" s="31">
        <v>44936</v>
      </c>
      <c r="B21" s="16" t="s">
        <v>157</v>
      </c>
      <c r="C21" s="16">
        <v>20</v>
      </c>
    </row>
    <row r="22" spans="1:3" ht="14.5" x14ac:dyDescent="0.35">
      <c r="B22" s="16" t="s">
        <v>158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42" zoomScaleNormal="60" workbookViewId="0">
      <selection activeCell="M52" sqref="M52"/>
    </sheetView>
  </sheetViews>
  <sheetFormatPr defaultColWidth="11" defaultRowHeight="13" x14ac:dyDescent="0.3"/>
  <cols>
    <col min="1" max="1" width="28.19921875" style="2" bestFit="1" customWidth="1"/>
    <col min="2" max="2" width="11" style="2" customWidth="1"/>
    <col min="3" max="3" width="11" style="49"/>
    <col min="4" max="16384" width="11" style="2"/>
  </cols>
  <sheetData>
    <row r="1" spans="1:14" ht="21" x14ac:dyDescent="0.5">
      <c r="A1" s="40" t="s">
        <v>98</v>
      </c>
      <c r="B1" s="39" t="s">
        <v>174</v>
      </c>
    </row>
    <row r="3" spans="1:14" ht="14.5" x14ac:dyDescent="0.35">
      <c r="B3" s="1" t="s">
        <v>150</v>
      </c>
    </row>
    <row r="4" spans="1:14" ht="18.5" x14ac:dyDescent="0.45">
      <c r="A4" s="41" t="s">
        <v>53</v>
      </c>
      <c r="B4" s="1"/>
      <c r="D4" s="54" t="s">
        <v>182</v>
      </c>
    </row>
    <row r="5" spans="1:14" ht="18.5" x14ac:dyDescent="0.45">
      <c r="A5" s="41" t="s">
        <v>152</v>
      </c>
      <c r="B5" s="1" t="s">
        <v>183</v>
      </c>
    </row>
    <row r="6" spans="1:14" ht="14.5" x14ac:dyDescent="0.35">
      <c r="A6" s="3"/>
      <c r="B6" s="1"/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 t="s">
        <v>99</v>
      </c>
      <c r="B9" s="25" t="s">
        <v>89</v>
      </c>
      <c r="C9" s="50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51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</row>
    <row r="11" spans="1:14" ht="14.5" x14ac:dyDescent="0.35">
      <c r="A11" s="25" t="s">
        <v>90</v>
      </c>
      <c r="B11" s="24">
        <v>95</v>
      </c>
      <c r="C11" s="51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</row>
    <row r="12" spans="1:14" ht="14.5" x14ac:dyDescent="0.35">
      <c r="A12" s="25" t="s">
        <v>91</v>
      </c>
      <c r="B12" s="24">
        <v>-1</v>
      </c>
      <c r="C12" s="51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</row>
    <row r="13" spans="1:14" ht="14.5" x14ac:dyDescent="0.35">
      <c r="A13" s="25" t="s">
        <v>92</v>
      </c>
      <c r="B13" s="24">
        <v>185</v>
      </c>
      <c r="C13" s="51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</row>
    <row r="14" spans="1:14" ht="14.5" x14ac:dyDescent="0.35">
      <c r="A14" s="25" t="s">
        <v>93</v>
      </c>
      <c r="B14" s="24">
        <v>255</v>
      </c>
      <c r="C14" s="51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</row>
    <row r="15" spans="1:14" ht="14.5" x14ac:dyDescent="0.35">
      <c r="A15" s="25" t="s">
        <v>94</v>
      </c>
      <c r="B15" s="24">
        <v>305</v>
      </c>
      <c r="C15" s="51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</row>
    <row r="16" spans="1:14" ht="14.5" x14ac:dyDescent="0.35">
      <c r="A16" s="25" t="s">
        <v>95</v>
      </c>
      <c r="B16" s="24">
        <v>415</v>
      </c>
      <c r="C16" s="51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</row>
    <row r="17" spans="1:14" ht="14.5" x14ac:dyDescent="0.35">
      <c r="A17" s="25" t="s">
        <v>96</v>
      </c>
      <c r="B17" s="24">
        <v>480</v>
      </c>
      <c r="C17" s="51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</row>
    <row r="18" spans="1:14" ht="14.5" x14ac:dyDescent="0.35">
      <c r="A18" s="25" t="s">
        <v>97</v>
      </c>
      <c r="B18" s="24">
        <v>525</v>
      </c>
      <c r="C18" s="51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</row>
    <row r="21" spans="1:14" ht="23.5" x14ac:dyDescent="0.55000000000000004">
      <c r="A21" s="17" t="s">
        <v>167</v>
      </c>
    </row>
    <row r="22" spans="1:14" ht="14.5" x14ac:dyDescent="0.35">
      <c r="A22" s="14" t="s">
        <v>100</v>
      </c>
      <c r="B22" s="16" t="s">
        <v>101</v>
      </c>
      <c r="C22" s="52" t="s">
        <v>102</v>
      </c>
    </row>
    <row r="23" spans="1:14" ht="14.5" x14ac:dyDescent="0.35">
      <c r="A23" s="7">
        <v>10100</v>
      </c>
      <c r="B23" s="12">
        <v>10102</v>
      </c>
      <c r="C23" s="53" t="e">
        <f>INDEX($B$10:$J$18, MATCH(VLOOKUP(A21, $M$10:$N$18, 2, FALSE), $A$10:$A$18, 0), MATCH(VLOOKUP(B21, $M$10:$N$18, 2, FALSE), $B$9:$J$9, 0))</f>
        <v>#N/A</v>
      </c>
    </row>
    <row r="24" spans="1:14" ht="14.5" x14ac:dyDescent="0.35">
      <c r="A24" s="7">
        <v>10100</v>
      </c>
      <c r="B24" s="12">
        <v>10104</v>
      </c>
      <c r="C24" s="53" t="e">
        <f t="shared" ref="C24:C35" si="0">INDEX($B$10:$J$18, MATCH(VLOOKUP(A22, $M$10:$N$18, 2, FALSE), $A$10:$A$18, 0), MATCH(VLOOKUP(B22, $M$10:$N$18, 2, FALSE), $B$9:$J$9, 0))</f>
        <v>#N/A</v>
      </c>
    </row>
    <row r="25" spans="1:14" ht="14.5" x14ac:dyDescent="0.35">
      <c r="A25" s="7">
        <v>10108</v>
      </c>
      <c r="B25" s="12">
        <v>10102</v>
      </c>
      <c r="C25" s="53">
        <f t="shared" si="0"/>
        <v>95</v>
      </c>
    </row>
    <row r="26" spans="1:14" ht="14.5" x14ac:dyDescent="0.35">
      <c r="A26" s="7">
        <v>10100</v>
      </c>
      <c r="B26" s="12">
        <v>10106</v>
      </c>
      <c r="C26" s="53">
        <f t="shared" si="0"/>
        <v>-1</v>
      </c>
    </row>
    <row r="27" spans="1:14" ht="14.5" x14ac:dyDescent="0.35">
      <c r="A27" s="7">
        <v>10108</v>
      </c>
      <c r="B27" s="12">
        <v>10110</v>
      </c>
      <c r="C27" s="53">
        <f t="shared" si="0"/>
        <v>160</v>
      </c>
    </row>
    <row r="28" spans="1:14" ht="14.5" x14ac:dyDescent="0.35">
      <c r="A28" s="7">
        <v>10102</v>
      </c>
      <c r="B28" s="12">
        <v>10104</v>
      </c>
      <c r="C28" s="53">
        <f t="shared" si="0"/>
        <v>185</v>
      </c>
    </row>
    <row r="29" spans="1:14" ht="14.5" x14ac:dyDescent="0.35">
      <c r="A29" s="7">
        <v>10106</v>
      </c>
      <c r="B29" s="12">
        <v>10108</v>
      </c>
      <c r="C29" s="53">
        <f t="shared" si="0"/>
        <v>50</v>
      </c>
    </row>
    <row r="30" spans="1:14" ht="14.5" x14ac:dyDescent="0.35">
      <c r="A30" s="7">
        <v>10102</v>
      </c>
      <c r="B30" s="12">
        <v>10106</v>
      </c>
      <c r="C30" s="53">
        <f t="shared" si="0"/>
        <v>-1</v>
      </c>
    </row>
    <row r="31" spans="1:14" ht="14.5" x14ac:dyDescent="0.35">
      <c r="A31" s="7">
        <v>10110</v>
      </c>
      <c r="B31" s="12">
        <v>10114</v>
      </c>
      <c r="C31" s="53">
        <f t="shared" si="0"/>
        <v>70</v>
      </c>
    </row>
    <row r="32" spans="1:14" ht="14.5" x14ac:dyDescent="0.35">
      <c r="A32" s="7">
        <v>10104</v>
      </c>
      <c r="B32" s="12">
        <v>10106</v>
      </c>
      <c r="C32" s="53">
        <f t="shared" si="0"/>
        <v>90</v>
      </c>
    </row>
    <row r="33" spans="1:3" ht="14.5" x14ac:dyDescent="0.35">
      <c r="A33" s="7">
        <v>10110</v>
      </c>
      <c r="B33" s="12">
        <v>10112</v>
      </c>
      <c r="C33" s="53">
        <f t="shared" si="0"/>
        <v>180</v>
      </c>
    </row>
    <row r="34" spans="1:3" ht="14.5" x14ac:dyDescent="0.35">
      <c r="A34" s="7">
        <v>10100</v>
      </c>
      <c r="B34" s="12">
        <v>10114</v>
      </c>
      <c r="C34" s="53">
        <f t="shared" si="0"/>
        <v>60</v>
      </c>
    </row>
    <row r="35" spans="1:3" ht="14.5" x14ac:dyDescent="0.35">
      <c r="A35" s="9">
        <v>10112</v>
      </c>
      <c r="B35" s="13">
        <v>10116</v>
      </c>
      <c r="C35" s="53">
        <f t="shared" si="0"/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Task_1</vt:lpstr>
      <vt:lpstr>Dataset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Anirudha kulkarni</cp:lastModifiedBy>
  <dcterms:created xsi:type="dcterms:W3CDTF">2015-02-10T17:33:11Z</dcterms:created>
  <dcterms:modified xsi:type="dcterms:W3CDTF">2024-10-24T10:38:52Z</dcterms:modified>
</cp:coreProperties>
</file>